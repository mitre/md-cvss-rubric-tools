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Work\Health Care\FDA CDRH\CVSS for Healthcare\Rubric\"/>
    </mc:Choice>
  </mc:AlternateContent>
  <xr:revisionPtr revIDLastSave="0" documentId="13_ncr:1_{B33B301A-8C89-430A-BAC8-179B0DFC3A0C}" xr6:coauthVersionLast="45" xr6:coauthVersionMax="45" xr10:uidLastSave="{00000000-0000-0000-0000-000000000000}"/>
  <bookViews>
    <workbookView xWindow="-93" yWindow="-93" windowWidth="21520" windowHeight="11586" xr2:uid="{539C0B79-9C02-8149-8782-B38905298BBB}"/>
  </bookViews>
  <sheets>
    <sheet name="Base Score" sheetId="2" r:id="rId1"/>
    <sheet name="Summary" sheetId="3" r:id="rId2"/>
    <sheet name="Sheet1" sheetId="1" state="hidden" r:id="rId3"/>
    <sheet name="Detail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2" l="1"/>
  <c r="C20" i="2" s="1"/>
  <c r="F18" i="2"/>
  <c r="D20" i="2" s="1"/>
  <c r="H18" i="2"/>
  <c r="E20" i="2" s="1"/>
  <c r="E27" i="2" l="1"/>
  <c r="G9" i="2"/>
  <c r="F9" i="2"/>
  <c r="F10" i="2" s="1"/>
  <c r="E9" i="2"/>
  <c r="D9" i="2"/>
  <c r="D10" i="2" s="1"/>
  <c r="C9" i="2"/>
  <c r="E10" i="2" l="1"/>
  <c r="F29" i="2"/>
  <c r="C10" i="2"/>
  <c r="E28" i="2"/>
  <c r="E26" i="2" l="1"/>
  <c r="E29" i="2" s="1"/>
  <c r="G27" i="2" s="1"/>
</calcChain>
</file>

<file path=xl/sharedStrings.xml><?xml version="1.0" encoding="utf-8"?>
<sst xmlns="http://schemas.openxmlformats.org/spreadsheetml/2006/main" count="134" uniqueCount="65">
  <si>
    <t>YES</t>
  </si>
  <si>
    <t>NO</t>
  </si>
  <si>
    <t>UNKNOWN</t>
  </si>
  <si>
    <t>ATTACK COMPLEXITY</t>
  </si>
  <si>
    <t>PRIVILEGES REQUIRED</t>
  </si>
  <si>
    <t>USER INTERACTION</t>
  </si>
  <si>
    <t>SCOPE</t>
  </si>
  <si>
    <t>PHI/PII data</t>
  </si>
  <si>
    <t>Data or functionality related to diagnosis or monitoring</t>
  </si>
  <si>
    <t>Data or functionality related to the delivery of therapy</t>
  </si>
  <si>
    <t>Data or functionality related to clinical workflow</t>
  </si>
  <si>
    <t>Data or functionality related to private sytem or system-user data</t>
  </si>
  <si>
    <t>Any other kind  of critical, sensitive data or functionality</t>
  </si>
  <si>
    <t>HIGH</t>
  </si>
  <si>
    <t>LOW</t>
  </si>
  <si>
    <t>NONE</t>
  </si>
  <si>
    <t>NOT ANSWERED</t>
  </si>
  <si>
    <t>Base Score:</t>
  </si>
  <si>
    <t xml:space="preserve">Confidentiality: </t>
  </si>
  <si>
    <t xml:space="preserve">Integrity: </t>
  </si>
  <si>
    <t>Availability:</t>
  </si>
  <si>
    <t>ATTACK VECTOR</t>
  </si>
  <si>
    <t>Q4 (XAVR). Is the range approximately 10 feet or less?</t>
  </si>
  <si>
    <t>Q5 (XAVP). Must the attacker have physical contact with the device?</t>
  </si>
  <si>
    <t>Q5.1 (XAVPA). Is the device accessed through a “human-user interface,” i.e. a user interface intended for manual operation by device users?</t>
  </si>
  <si>
    <t>Q1 (XPRL). Does the device/component use an authorization model that supports login for multiple different users or roles with different privilege levels?</t>
  </si>
  <si>
    <t>Q2 (XPRZ). Before attempting to exploit the vulnerability, must the attacker be authorized to the affected component?</t>
  </si>
  <si>
    <t>Q3 (XPRS). Must the attacker have administrator, maintainer, or other system-level privileges to attempt to exploit the vulnerability?</t>
  </si>
  <si>
    <t>Q1 (XUI). To successfully exploit the vulnerability, must the attacker depend on another user or victim to perform an action or otherwise interact with the system?</t>
  </si>
  <si>
    <t>Q1 (XS). Can the attacker affect a component whose authority (“authorization scope”) is different than that of the vulnerable component?</t>
  </si>
  <si>
    <t>Q1.C (XCP): Can this data be read?</t>
  </si>
  <si>
    <t>Q1.1.C (XCPM): Can the exposed data cover a large number of patients, e.g. 500 or more, which may force regulatory action or data breach notification (e.g. HIPAA, GDPR)?</t>
  </si>
  <si>
    <t>Q1.I (XIP): Can this data be modified/deleted?</t>
  </si>
  <si>
    <t>Q1.A (XAP): Can this data be rendered inaccessible?</t>
  </si>
  <si>
    <t xml:space="preserve"> For any data or functionality related to diagnosis or monitoring:</t>
  </si>
  <si>
    <t>Q2.C (XCD): Can this data or functionality be read/exposed?</t>
  </si>
  <si>
    <t>Q2.I (XID): Can this data or functionality be modified/deleted?</t>
  </si>
  <si>
    <t>Q2.A (XAD): Can this data or functionality be rendered inaccessible?</t>
  </si>
  <si>
    <t>For any data or functionality related to the delivery of therapy:</t>
  </si>
  <si>
    <t>Q3.C (XCT): Can this data or functionality be read/exposed?</t>
  </si>
  <si>
    <t>Q3.I (XIT): Can this data or functionality be modified/deleted?</t>
  </si>
  <si>
    <t>Q3.A (XAT): Can this data or functionality be rendered inaccessible?</t>
  </si>
  <si>
    <t>For any data or functionality related to clinical workflow:</t>
  </si>
  <si>
    <t>Q4.C (XCW): Can this data or functionality be read/exposed?</t>
  </si>
  <si>
    <t>Q4.I (XIW): Can this data or functionality be modified/deleted?</t>
  </si>
  <si>
    <t>Q4.A (XAW): Can this data or functionality be rendered inaccessible?</t>
  </si>
  <si>
    <t xml:space="preserve"> For any data or functionality related to private system or system-user data, e.g. passwords or private keys:</t>
  </si>
  <si>
    <t>Q5.I (XIS): Can this data or functionality be modified/deleted?</t>
  </si>
  <si>
    <t>Q5.C (XCS): Can this data or functionality be read/exposed?</t>
  </si>
  <si>
    <t>Q5.A (XAS): Can this data or functionality be rendered inaccessible?</t>
  </si>
  <si>
    <t>For any other kind of critical, sensitive data or functionality:</t>
  </si>
  <si>
    <t>Q6.C (XCO): Can this data or functionality be read/exposed?</t>
  </si>
  <si>
    <t>Q6.I (XIO): Can this data or functionality be modified/deleted?</t>
  </si>
  <si>
    <t>Q6.A (XAO): Can this data or functionality be rendered inaccessible?</t>
  </si>
  <si>
    <t>Base Vector</t>
  </si>
  <si>
    <t>Vulnerability</t>
  </si>
  <si>
    <t>Base Score</t>
  </si>
  <si>
    <t>Q3 (XAVW). Is the communication over a wireless channel?</t>
  </si>
  <si>
    <t>Q2 (XAVT). Does the network use OSI layer 3 or 4 protocols, e.g. IP, TCP/IP, or UDP?</t>
  </si>
  <si>
    <t>Q1 (XAVN). Can the attacker utilize some type of network or communication protocol to exploit this vulnerability?</t>
  </si>
  <si>
    <t>Q1 (XACL). Can the attacker attempt to exploit the vulnerability at will, i.e., without requiring
any special circumstances, configurations, or use of other vulnerabilities or attacks before
attacking this vulnerability?</t>
  </si>
  <si>
    <t>Test</t>
  </si>
  <si>
    <t>AV:A/AC:L/PR:N/UI:R/S:C/C:H/I:L/A:H</t>
  </si>
  <si>
    <t>Test2</t>
  </si>
  <si>
    <t>AV:N/AC:L/PR:H/UI:R/S:C/C:H/I:H/A:L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</si>
</sst>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6"/>
      <color rgb="FF002060"/>
      <name val="Calibri"/>
      <family val="2"/>
    </font>
    <font>
      <b/>
      <sz val="20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0" fillId="2" borderId="0" xfId="0" applyFill="1" applyProtection="1">
      <protection hidden="1"/>
    </xf>
    <xf numFmtId="0" fontId="3" fillId="3" borderId="7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0" fillId="2" borderId="9" xfId="0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0" fillId="3" borderId="7" xfId="0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6" fillId="0" borderId="9" xfId="0" applyFont="1" applyBorder="1" applyAlignment="1">
      <alignment horizontal="center"/>
    </xf>
    <xf numFmtId="0" fontId="6" fillId="2" borderId="9" xfId="0" applyFont="1" applyFill="1" applyBorder="1" applyAlignment="1" applyProtection="1">
      <alignment horizontal="center"/>
      <protection hidden="1"/>
    </xf>
    <xf numFmtId="0" fontId="6" fillId="0" borderId="0" xfId="0" applyFont="1" applyBorder="1" applyAlignment="1">
      <alignment horizontal="center"/>
    </xf>
    <xf numFmtId="0" fontId="6" fillId="2" borderId="0" xfId="0" applyFont="1" applyFill="1" applyBorder="1" applyAlignment="1" applyProtection="1">
      <alignment horizontal="center"/>
      <protection hidden="1"/>
    </xf>
    <xf numFmtId="0" fontId="6" fillId="3" borderId="9" xfId="0" applyFont="1" applyFill="1" applyBorder="1" applyAlignment="1">
      <alignment horizontal="center"/>
    </xf>
    <xf numFmtId="0" fontId="5" fillId="2" borderId="0" xfId="0" applyFont="1" applyFill="1" applyProtection="1">
      <protection hidden="1"/>
    </xf>
    <xf numFmtId="0" fontId="2" fillId="3" borderId="1" xfId="0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3" fillId="3" borderId="11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0" fillId="3" borderId="17" xfId="0" applyFill="1" applyBorder="1" applyProtection="1">
      <protection hidden="1"/>
    </xf>
    <xf numFmtId="0" fontId="3" fillId="3" borderId="17" xfId="0" applyFont="1" applyFill="1" applyBorder="1" applyAlignment="1">
      <alignment horizontal="center"/>
    </xf>
    <xf numFmtId="0" fontId="0" fillId="3" borderId="18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3" fillId="3" borderId="19" xfId="0" applyFont="1" applyFill="1" applyBorder="1" applyAlignment="1">
      <alignment horizontal="right" wrapText="1"/>
    </xf>
    <xf numFmtId="0" fontId="3" fillId="3" borderId="10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right" wrapText="1"/>
    </xf>
    <xf numFmtId="0" fontId="7" fillId="0" borderId="15" xfId="0" applyFont="1" applyBorder="1" applyAlignment="1">
      <alignment horizontal="center"/>
    </xf>
    <xf numFmtId="0" fontId="8" fillId="2" borderId="15" xfId="0" applyFont="1" applyFill="1" applyBorder="1" applyAlignment="1">
      <alignment horizontal="center" vertical="center" wrapText="1"/>
    </xf>
    <xf numFmtId="0" fontId="9" fillId="2" borderId="15" xfId="0" applyFont="1" applyFill="1" applyBorder="1"/>
    <xf numFmtId="0" fontId="0" fillId="0" borderId="15" xfId="0" applyBorder="1" applyAlignment="1">
      <alignment vertical="center" wrapText="1"/>
    </xf>
    <xf numFmtId="0" fontId="0" fillId="0" borderId="15" xfId="0" applyBorder="1"/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2" fillId="2" borderId="15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 applyProtection="1">
      <alignment vertical="center"/>
      <protection hidden="1"/>
    </xf>
    <xf numFmtId="0" fontId="13" fillId="3" borderId="0" xfId="0" applyFont="1" applyFill="1" applyBorder="1" applyAlignment="1" applyProtection="1">
      <alignment horizontal="right"/>
      <protection hidden="1"/>
    </xf>
    <xf numFmtId="0" fontId="13" fillId="3" borderId="0" xfId="0" applyFont="1" applyFill="1" applyBorder="1" applyAlignment="1" applyProtection="1">
      <alignment horizontal="left"/>
      <protection hidden="1"/>
    </xf>
    <xf numFmtId="0" fontId="0" fillId="2" borderId="13" xfId="0" applyFill="1" applyBorder="1" applyProtection="1">
      <protection hidden="1"/>
    </xf>
    <xf numFmtId="0" fontId="0" fillId="2" borderId="20" xfId="0" applyFill="1" applyBorder="1" applyProtection="1">
      <protection hidden="1"/>
    </xf>
  </cellXfs>
  <cellStyles count="1">
    <cellStyle name="Normal" xfId="0" builtinId="0"/>
  </cellStyles>
  <dxfs count="26"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numFmt numFmtId="0" formatCode="General"/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numFmt numFmtId="0" formatCode="General"/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196850</xdr:colOff>
      <xdr:row>15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172450" y="3048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482600</xdr:colOff>
          <xdr:row>20</xdr:row>
          <xdr:rowOff>127000</xdr:rowOff>
        </xdr:from>
        <xdr:to>
          <xdr:col>6</xdr:col>
          <xdr:colOff>1689100</xdr:colOff>
          <xdr:row>23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05156" rIns="100584" bIns="105156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2060"/>
                  </a:solidFill>
                  <a:latin typeface="Calibri"/>
                  <a:cs typeface="Calibri"/>
                </a:rPr>
                <a:t>Save Score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815308</xdr:colOff>
      <xdr:row>0</xdr:row>
      <xdr:rowOff>250864</xdr:rowOff>
    </xdr:from>
    <xdr:to>
      <xdr:col>1</xdr:col>
      <xdr:colOff>1793716</xdr:colOff>
      <xdr:row>2</xdr:row>
      <xdr:rowOff>155373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900617" y="250864"/>
          <a:ext cx="978408" cy="484632"/>
        </a:xfrm>
        <a:prstGeom prst="righ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172469</xdr:colOff>
      <xdr:row>0</xdr:row>
      <xdr:rowOff>141111</xdr:rowOff>
    </xdr:from>
    <xdr:to>
      <xdr:col>1</xdr:col>
      <xdr:colOff>548765</xdr:colOff>
      <xdr:row>6</xdr:row>
      <xdr:rowOff>47037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72469" y="141111"/>
          <a:ext cx="2461605" cy="15522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/>
            <a:t> Star</a:t>
          </a:r>
          <a:r>
            <a:rPr lang="en-US" sz="1600" baseline="0"/>
            <a:t>t here, then follow the white cells down and answer those questions. Then move to the next section.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83CD-A654-EE47-975E-5834D926541A}">
  <sheetPr codeName="Sheet3"/>
  <dimension ref="A1:Y332"/>
  <sheetViews>
    <sheetView tabSelected="1" topLeftCell="A9" zoomScale="81" zoomScaleNormal="82" workbookViewId="0">
      <selection activeCell="B9" sqref="B9"/>
    </sheetView>
  </sheetViews>
  <sheetFormatPr defaultColWidth="10.6640625" defaultRowHeight="15.7" x14ac:dyDescent="0.55000000000000004"/>
  <cols>
    <col min="1" max="1" width="27.33203125" customWidth="1"/>
    <col min="2" max="2" width="28.5" customWidth="1"/>
    <col min="3" max="3" width="28.6640625" customWidth="1"/>
    <col min="4" max="4" width="31.83203125" customWidth="1"/>
    <col min="5" max="5" width="32.1640625" customWidth="1"/>
    <col min="6" max="6" width="28.5" customWidth="1"/>
    <col min="7" max="7" width="31.33203125" customWidth="1"/>
    <col min="8" max="8" width="23.1640625" customWidth="1"/>
    <col min="9" max="9" width="22.83203125" customWidth="1"/>
    <col min="10" max="10" width="24.5" customWidth="1"/>
  </cols>
  <sheetData>
    <row r="1" spans="1:19" s="2" customFormat="1" ht="23.7" thickBot="1" x14ac:dyDescent="0.85">
      <c r="A1" s="3"/>
      <c r="B1" s="3"/>
      <c r="C1" s="5" t="s">
        <v>21</v>
      </c>
      <c r="D1" s="4" t="s">
        <v>3</v>
      </c>
      <c r="E1" s="6" t="s">
        <v>4</v>
      </c>
      <c r="F1" s="6" t="s">
        <v>5</v>
      </c>
      <c r="G1" s="6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20.7" x14ac:dyDescent="0.7">
      <c r="A2" s="3"/>
      <c r="B2" s="3"/>
      <c r="C2" s="15"/>
      <c r="D2" s="17"/>
      <c r="E2" s="15"/>
      <c r="F2" s="15"/>
      <c r="G2" s="15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t="20.7" x14ac:dyDescent="0.7">
      <c r="A3" s="3"/>
      <c r="B3" s="3"/>
      <c r="C3" s="15"/>
      <c r="D3" s="18"/>
      <c r="E3" s="15"/>
      <c r="F3" s="16"/>
      <c r="G3" s="16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ht="20.7" x14ac:dyDescent="0.7">
      <c r="A4" s="3"/>
      <c r="B4" s="3"/>
      <c r="C4" s="15"/>
      <c r="D4" s="18"/>
      <c r="E4" s="15"/>
      <c r="F4" s="16"/>
      <c r="G4" s="16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ht="20.7" x14ac:dyDescent="0.7">
      <c r="A5" s="3"/>
      <c r="B5" s="3"/>
      <c r="C5" s="15"/>
      <c r="D5" s="18"/>
      <c r="E5" s="16"/>
      <c r="F5" s="16"/>
      <c r="G5" s="16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ht="20.7" x14ac:dyDescent="0.7">
      <c r="A6" s="3"/>
      <c r="B6" s="3"/>
      <c r="C6" s="15"/>
      <c r="D6" s="18"/>
      <c r="E6" s="16"/>
      <c r="F6" s="16"/>
      <c r="G6" s="16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s="2" customFormat="1" ht="20.7" x14ac:dyDescent="0.7">
      <c r="A7" s="3"/>
      <c r="B7" s="3"/>
      <c r="C7" s="15"/>
      <c r="D7" s="18"/>
      <c r="E7" s="16"/>
      <c r="F7" s="16"/>
      <c r="G7" s="16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55000000000000004">
      <c r="A8" s="3"/>
      <c r="B8" s="3"/>
      <c r="C8" s="7"/>
      <c r="D8" s="7"/>
      <c r="E8" s="7"/>
      <c r="F8" s="7"/>
      <c r="G8" s="7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ht="23.7" thickBot="1" x14ac:dyDescent="0.85">
      <c r="A9" s="3"/>
      <c r="B9" s="3"/>
      <c r="C9" s="5" t="str">
        <f>IF(OR(C3="YES",C3="UNKNOWN",C2="UNKNOWN"),"Network",IF(OR(C5="YES",C6="NO",C6="UNKNOWN"),"Local",IF(C6="YES","Physical",IF(OR(C4="NO",C4="UNKNOWN",C5="NO"),"Adjacent",""))))</f>
        <v/>
      </c>
      <c r="D9" s="5" t="str">
        <f>IF(OR(D2="YES", D2="UNKNOWN"), "Low", IF(D2="NO", "High", ""))</f>
        <v/>
      </c>
      <c r="E9" s="5" t="str">
        <f>IF(OR(E2="NO",E2="UNKNOWN"),"None",IF(OR(E3="NO",E3="UNKNOWN"),"None",IF(E4="YES","High",IF(E4="NO","Low",IF(E4="UNKNOWN","None","")))))</f>
        <v/>
      </c>
      <c r="F9" s="5" t="str">
        <f>IF(F2="YES","Required", IF(OR(F2="NO", F2="UNKNOWN"), "None",  ""))</f>
        <v/>
      </c>
      <c r="G9" s="5" t="str">
        <f>IF(G2="NO", "Unchanged", IF(OR(G2="YES", G2="UNKNOWN"), "Changed", ""))</f>
        <v/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x14ac:dyDescent="0.55000000000000004">
      <c r="A10" s="3"/>
      <c r="B10" s="3"/>
      <c r="C10" s="20">
        <f>IF(C9="Network", 0.85, IF(C9="Local", 0.55, IF(C9="Adjacent", 0.62, IF(C9="Physical", 0.2, 0))))</f>
        <v>0</v>
      </c>
      <c r="D10" s="20">
        <f>IF(D9="High", 0.44, IF(D9="Low", 0.77, 0))</f>
        <v>0</v>
      </c>
      <c r="E10" s="20">
        <f>IF(AND(E9="High", G9="Changed"), 0.5, IF(AND(E9="High", G9="Unchanged"), 0.27, IF(AND(E9="Low", G9="Changed"), 0.68, IF(AND(E9="Low", G9="Unchanged"), 0.62, IF(E9="None", 0.85, 0)))))</f>
        <v>0</v>
      </c>
      <c r="F10" s="20">
        <f>IF(F9="Required", 0.62, IF(F9="None", 0.85, 0))</f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ht="93.7" thickBot="1" x14ac:dyDescent="0.6">
      <c r="A11" s="3"/>
      <c r="B11" s="3"/>
      <c r="C11" s="23" t="s">
        <v>7</v>
      </c>
      <c r="D11" s="23" t="s">
        <v>8</v>
      </c>
      <c r="E11" s="23" t="s">
        <v>9</v>
      </c>
      <c r="F11" s="23" t="s">
        <v>10</v>
      </c>
      <c r="G11" s="23" t="s">
        <v>11</v>
      </c>
      <c r="H11" s="23" t="s">
        <v>12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ht="20.7" x14ac:dyDescent="0.7">
      <c r="A12" s="3"/>
      <c r="B12" s="3"/>
      <c r="C12" s="19"/>
      <c r="D12" s="15"/>
      <c r="E12" s="15"/>
      <c r="F12" s="15"/>
      <c r="G12" s="15"/>
      <c r="H12" s="15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ht="20.7" x14ac:dyDescent="0.7">
      <c r="A13" s="3"/>
      <c r="B13" s="3"/>
      <c r="C13" s="15"/>
      <c r="D13" s="15"/>
      <c r="E13" s="15"/>
      <c r="F13" s="15"/>
      <c r="G13" s="15"/>
      <c r="H13" s="15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ht="20.7" x14ac:dyDescent="0.7">
      <c r="A14" s="3"/>
      <c r="B14" s="3"/>
      <c r="C14" s="15"/>
      <c r="D14" s="15"/>
      <c r="E14" s="15"/>
      <c r="F14" s="15"/>
      <c r="G14" s="15"/>
      <c r="H14" s="15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ht="20.7" x14ac:dyDescent="0.7">
      <c r="A15" s="3"/>
      <c r="B15" s="3"/>
      <c r="C15" s="24"/>
      <c r="D15" s="46"/>
      <c r="E15" s="46"/>
      <c r="F15" s="46"/>
      <c r="G15" s="46"/>
      <c r="H15" s="47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x14ac:dyDescent="0.5500000000000000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ht="23.35" x14ac:dyDescent="0.8">
      <c r="A17" s="3"/>
      <c r="B17" s="3"/>
      <c r="C17" s="25"/>
      <c r="D17" s="26"/>
      <c r="E17" s="27"/>
      <c r="F17" s="26"/>
      <c r="G17" s="27"/>
      <c r="H17" s="28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ht="23.7" thickBot="1" x14ac:dyDescent="0.85">
      <c r="A18" s="3"/>
      <c r="B18" s="3"/>
      <c r="C18" s="32" t="s">
        <v>18</v>
      </c>
      <c r="D18" s="5" t="str">
        <f>IF(OR(C12="YES", H12="HIGH", D12="HIGH", E12="HIGH", F12="HIGH", G12="HIGH"),"High", IF(OR(H12="LOW", D12="LOW", E12="LOW", F12="LOW", G12="LOW"), "Low", "None"))</f>
        <v>None</v>
      </c>
      <c r="E18" s="34" t="s">
        <v>19</v>
      </c>
      <c r="F18" s="33" t="str">
        <f>IF(OR(C14="HIGH", D13="HIGH", E13="HIGH", F13="HIGH", G13="HIGH", H13="HIGH"),"High", IF(OR(C14="LOW", D13="LOW", E13="LOW", F13="LOW", G13="LOW", H13="LOW"), "Low", "None"))</f>
        <v>None</v>
      </c>
      <c r="G18" s="34" t="s">
        <v>20</v>
      </c>
      <c r="H18" s="33" t="str">
        <f>IF(OR(C15="HIGH", D14="HIGH", E14="HIGH", F14="HIGH", G14="HIGH", H14="HIGH"),"High", IF(OR(C15="LOW", D14="LOW", H13="LOW", F14="LOW", G14="LOW", H14="LOW"), "Low", "None"))</f>
        <v>None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55000000000000004">
      <c r="A19" s="3"/>
      <c r="B19" s="3"/>
      <c r="C19" s="29"/>
      <c r="D19" s="30"/>
      <c r="E19" s="30"/>
      <c r="F19" s="30"/>
      <c r="G19" s="30"/>
      <c r="H19" s="3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55000000000000004">
      <c r="A20" s="3"/>
      <c r="B20" s="3"/>
      <c r="C20" s="20">
        <f>IF(D18="High", 0.56, IF(D18="Low", 0.22, IF(D18="None", 0, 0)))</f>
        <v>0</v>
      </c>
      <c r="D20" s="20">
        <f>IF(F18="High", 0.56, IF(F18="Low", 0.22, IF(F18="None", 0, 0)))</f>
        <v>0</v>
      </c>
      <c r="E20" s="20">
        <f>IF(H18="High", 0.56, IF(H18="Low", 0.22, IF(H18="None", 0, 0)))</f>
        <v>0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5500000000000000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5500000000000000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x14ac:dyDescent="0.5500000000000000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5500000000000000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ht="16" thickBot="1" x14ac:dyDescent="0.6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55000000000000004">
      <c r="A26" s="3"/>
      <c r="B26" s="3"/>
      <c r="C26" s="3"/>
      <c r="D26" s="3"/>
      <c r="E26" s="21">
        <f>8.22*C10*D10*E10*F10</f>
        <v>0</v>
      </c>
      <c r="F26" s="8"/>
      <c r="G26" s="8"/>
      <c r="H26" s="9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ht="30.7" x14ac:dyDescent="1">
      <c r="A27" s="3"/>
      <c r="B27" s="3"/>
      <c r="C27" s="3"/>
      <c r="D27" s="3"/>
      <c r="E27" s="22">
        <f>1-((1-C20)*(1-D20)*(1-E20))</f>
        <v>0</v>
      </c>
      <c r="F27" s="44" t="s">
        <v>17</v>
      </c>
      <c r="G27" s="45" t="str">
        <f>E29</f>
        <v/>
      </c>
      <c r="H27" s="11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x14ac:dyDescent="0.55000000000000004">
      <c r="A28" s="3"/>
      <c r="B28" s="3"/>
      <c r="C28" s="3"/>
      <c r="D28" s="3"/>
      <c r="E28" s="22">
        <f>IF(G9="Changed",7.52*(E27-0.029)-3.25*(E27-0.02)^15,IF(G9="Unchanged",6.42*E27,0))</f>
        <v>0</v>
      </c>
      <c r="F28" s="10"/>
      <c r="G28" s="10"/>
      <c r="H28" s="11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ht="25.7" x14ac:dyDescent="0.55000000000000004">
      <c r="A29" s="3"/>
      <c r="B29" s="3"/>
      <c r="C29" s="3"/>
      <c r="D29" s="3"/>
      <c r="E29" s="22" t="str">
        <f>IF(G9="Unchanged", ROUNDUP(MIN(E28+E26), 1), IF(G9="Changed", ROUNDUP(MIN(1.08*(E28+E26)), 1),""))</f>
        <v/>
      </c>
      <c r="F29" s="43" t="str">
        <f>CONCATENATE("AV:", LEFT(C9,1), "/AC:", LEFT(D9,1), "/PR:", LEFT(E9, 1), "/UI:", LEFT(F9, 1), "/S:", LEFT(G9, 1), "/C:", LEFT(D18, 1), "/I:", LEFT(F18, 1), "/A:", LEFT(H18, 1))</f>
        <v>AV:/AC:/PR:/UI:/S:/C:N/I:N/A:N</v>
      </c>
      <c r="H29" s="11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ht="16" thickBot="1" x14ac:dyDescent="0.6">
      <c r="A30" s="3"/>
      <c r="B30" s="3"/>
      <c r="C30" s="3"/>
      <c r="D30" s="3"/>
      <c r="E30" s="12"/>
      <c r="F30" s="13"/>
      <c r="G30" s="13"/>
      <c r="H30" s="14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x14ac:dyDescent="0.55000000000000004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x14ac:dyDescent="0.55000000000000004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25" x14ac:dyDescent="0.55000000000000004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25" x14ac:dyDescent="0.55000000000000004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25" x14ac:dyDescent="0.55000000000000004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25" x14ac:dyDescent="0.55000000000000004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25" x14ac:dyDescent="0.55000000000000004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x14ac:dyDescent="0.5500000000000000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x14ac:dyDescent="0.55000000000000004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:25" x14ac:dyDescent="0.55000000000000004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:25" x14ac:dyDescent="0.55000000000000004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:25" x14ac:dyDescent="0.55000000000000004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x14ac:dyDescent="0.55000000000000004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x14ac:dyDescent="0.55000000000000004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x14ac:dyDescent="0.55000000000000004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x14ac:dyDescent="0.55000000000000004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x14ac:dyDescent="0.5500000000000000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x14ac:dyDescent="0.55000000000000004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x14ac:dyDescent="0.55000000000000004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x14ac:dyDescent="0.55000000000000004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x14ac:dyDescent="0.55000000000000004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x14ac:dyDescent="0.55000000000000004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x14ac:dyDescent="0.55000000000000004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x14ac:dyDescent="0.55000000000000004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x14ac:dyDescent="0.5500000000000000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x14ac:dyDescent="0.55000000000000004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x14ac:dyDescent="0.55000000000000004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x14ac:dyDescent="0.55000000000000004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x14ac:dyDescent="0.55000000000000004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 x14ac:dyDescent="0.55000000000000004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 x14ac:dyDescent="0.55000000000000004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 x14ac:dyDescent="0.55000000000000004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 x14ac:dyDescent="0.55000000000000004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 x14ac:dyDescent="0.55000000000000004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 x14ac:dyDescent="0.55000000000000004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 x14ac:dyDescent="0.55000000000000004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 x14ac:dyDescent="0.55000000000000004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 x14ac:dyDescent="0.55000000000000004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 x14ac:dyDescent="0.55000000000000004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 x14ac:dyDescent="0.55000000000000004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 x14ac:dyDescent="0.55000000000000004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 x14ac:dyDescent="0.55000000000000004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 x14ac:dyDescent="0.55000000000000004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 x14ac:dyDescent="0.55000000000000004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 x14ac:dyDescent="0.55000000000000004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 x14ac:dyDescent="0.5500000000000000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 x14ac:dyDescent="0.55000000000000004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 x14ac:dyDescent="0.55000000000000004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 x14ac:dyDescent="0.55000000000000004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 x14ac:dyDescent="0.55000000000000004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 x14ac:dyDescent="0.55000000000000004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 x14ac:dyDescent="0.55000000000000004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 x14ac:dyDescent="0.55000000000000004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 x14ac:dyDescent="0.55000000000000004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 x14ac:dyDescent="0.55000000000000004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 x14ac:dyDescent="0.55000000000000004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x14ac:dyDescent="0.55000000000000004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x14ac:dyDescent="0.55000000000000004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x14ac:dyDescent="0.55000000000000004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x14ac:dyDescent="0.55000000000000004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x14ac:dyDescent="0.55000000000000004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x14ac:dyDescent="0.55000000000000004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x14ac:dyDescent="0.55000000000000004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x14ac:dyDescent="0.55000000000000004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x14ac:dyDescent="0.55000000000000004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x14ac:dyDescent="0.55000000000000004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x14ac:dyDescent="0.55000000000000004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x14ac:dyDescent="0.55000000000000004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x14ac:dyDescent="0.55000000000000004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x14ac:dyDescent="0.5500000000000000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x14ac:dyDescent="0.5500000000000000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x14ac:dyDescent="0.5500000000000000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x14ac:dyDescent="0.55000000000000004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x14ac:dyDescent="0.55000000000000004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x14ac:dyDescent="0.55000000000000004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x14ac:dyDescent="0.55000000000000004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x14ac:dyDescent="0.55000000000000004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x14ac:dyDescent="0.55000000000000004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x14ac:dyDescent="0.5500000000000000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x14ac:dyDescent="0.5500000000000000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x14ac:dyDescent="0.5500000000000000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x14ac:dyDescent="0.5500000000000000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x14ac:dyDescent="0.5500000000000000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x14ac:dyDescent="0.55000000000000004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x14ac:dyDescent="0.55000000000000004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x14ac:dyDescent="0.55000000000000004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x14ac:dyDescent="0.55000000000000004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x14ac:dyDescent="0.55000000000000004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x14ac:dyDescent="0.55000000000000004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x14ac:dyDescent="0.55000000000000004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x14ac:dyDescent="0.55000000000000004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x14ac:dyDescent="0.55000000000000004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x14ac:dyDescent="0.55000000000000004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x14ac:dyDescent="0.5500000000000000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x14ac:dyDescent="0.55000000000000004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x14ac:dyDescent="0.55000000000000004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x14ac:dyDescent="0.55000000000000004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x14ac:dyDescent="0.55000000000000004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x14ac:dyDescent="0.55000000000000004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x14ac:dyDescent="0.55000000000000004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x14ac:dyDescent="0.55000000000000004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x14ac:dyDescent="0.55000000000000004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x14ac:dyDescent="0.55000000000000004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x14ac:dyDescent="0.55000000000000004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x14ac:dyDescent="0.55000000000000004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x14ac:dyDescent="0.55000000000000004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x14ac:dyDescent="0.55000000000000004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x14ac:dyDescent="0.55000000000000004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x14ac:dyDescent="0.55000000000000004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x14ac:dyDescent="0.55000000000000004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x14ac:dyDescent="0.55000000000000004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x14ac:dyDescent="0.55000000000000004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x14ac:dyDescent="0.55000000000000004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x14ac:dyDescent="0.55000000000000004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x14ac:dyDescent="0.55000000000000004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x14ac:dyDescent="0.55000000000000004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x14ac:dyDescent="0.55000000000000004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x14ac:dyDescent="0.55000000000000004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x14ac:dyDescent="0.55000000000000004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x14ac:dyDescent="0.55000000000000004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x14ac:dyDescent="0.55000000000000004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x14ac:dyDescent="0.55000000000000004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x14ac:dyDescent="0.55000000000000004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x14ac:dyDescent="0.55000000000000004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x14ac:dyDescent="0.55000000000000004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x14ac:dyDescent="0.55000000000000004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x14ac:dyDescent="0.55000000000000004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x14ac:dyDescent="0.55000000000000004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x14ac:dyDescent="0.55000000000000004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 x14ac:dyDescent="0.55000000000000004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 x14ac:dyDescent="0.55000000000000004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 x14ac:dyDescent="0.55000000000000004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 x14ac:dyDescent="0.55000000000000004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 x14ac:dyDescent="0.55000000000000004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 x14ac:dyDescent="0.55000000000000004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 x14ac:dyDescent="0.55000000000000004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 x14ac:dyDescent="0.55000000000000004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 x14ac:dyDescent="0.55000000000000004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 x14ac:dyDescent="0.55000000000000004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 x14ac:dyDescent="0.55000000000000004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 x14ac:dyDescent="0.55000000000000004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 x14ac:dyDescent="0.55000000000000004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 x14ac:dyDescent="0.55000000000000004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 x14ac:dyDescent="0.55000000000000004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 x14ac:dyDescent="0.55000000000000004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 x14ac:dyDescent="0.55000000000000004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 x14ac:dyDescent="0.55000000000000004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 x14ac:dyDescent="0.55000000000000004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 x14ac:dyDescent="0.55000000000000004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 x14ac:dyDescent="0.55000000000000004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 x14ac:dyDescent="0.55000000000000004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 x14ac:dyDescent="0.55000000000000004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 x14ac:dyDescent="0.55000000000000004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 x14ac:dyDescent="0.55000000000000004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 x14ac:dyDescent="0.55000000000000004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 x14ac:dyDescent="0.55000000000000004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 x14ac:dyDescent="0.55000000000000004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 x14ac:dyDescent="0.55000000000000004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 x14ac:dyDescent="0.55000000000000004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 x14ac:dyDescent="0.55000000000000004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 x14ac:dyDescent="0.55000000000000004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 x14ac:dyDescent="0.55000000000000004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 x14ac:dyDescent="0.55000000000000004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 x14ac:dyDescent="0.55000000000000004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 x14ac:dyDescent="0.55000000000000004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 x14ac:dyDescent="0.55000000000000004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 x14ac:dyDescent="0.55000000000000004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 x14ac:dyDescent="0.55000000000000004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 x14ac:dyDescent="0.55000000000000004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 x14ac:dyDescent="0.55000000000000004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 x14ac:dyDescent="0.55000000000000004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 x14ac:dyDescent="0.55000000000000004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 x14ac:dyDescent="0.55000000000000004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 x14ac:dyDescent="0.55000000000000004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 x14ac:dyDescent="0.55000000000000004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 x14ac:dyDescent="0.55000000000000004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 x14ac:dyDescent="0.55000000000000004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 x14ac:dyDescent="0.55000000000000004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 x14ac:dyDescent="0.55000000000000004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 x14ac:dyDescent="0.55000000000000004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 x14ac:dyDescent="0.55000000000000004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 x14ac:dyDescent="0.55000000000000004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 x14ac:dyDescent="0.55000000000000004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 x14ac:dyDescent="0.55000000000000004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 x14ac:dyDescent="0.55000000000000004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 x14ac:dyDescent="0.55000000000000004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 x14ac:dyDescent="0.55000000000000004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 x14ac:dyDescent="0.55000000000000004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 x14ac:dyDescent="0.55000000000000004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 x14ac:dyDescent="0.55000000000000004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 x14ac:dyDescent="0.55000000000000004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 x14ac:dyDescent="0.55000000000000004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 x14ac:dyDescent="0.55000000000000004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 x14ac:dyDescent="0.55000000000000004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 x14ac:dyDescent="0.55000000000000004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 x14ac:dyDescent="0.55000000000000004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 x14ac:dyDescent="0.55000000000000004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 x14ac:dyDescent="0.55000000000000004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 x14ac:dyDescent="0.55000000000000004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 x14ac:dyDescent="0.55000000000000004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 x14ac:dyDescent="0.55000000000000004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 x14ac:dyDescent="0.55000000000000004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 x14ac:dyDescent="0.55000000000000004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 x14ac:dyDescent="0.55000000000000004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 x14ac:dyDescent="0.55000000000000004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 x14ac:dyDescent="0.55000000000000004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 x14ac:dyDescent="0.55000000000000004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 x14ac:dyDescent="0.55000000000000004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 x14ac:dyDescent="0.55000000000000004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 x14ac:dyDescent="0.55000000000000004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 x14ac:dyDescent="0.55000000000000004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 x14ac:dyDescent="0.55000000000000004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 x14ac:dyDescent="0.55000000000000004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 x14ac:dyDescent="0.55000000000000004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 x14ac:dyDescent="0.55000000000000004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 x14ac:dyDescent="0.55000000000000004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 x14ac:dyDescent="0.55000000000000004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 x14ac:dyDescent="0.55000000000000004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 x14ac:dyDescent="0.55000000000000004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 x14ac:dyDescent="0.55000000000000004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 x14ac:dyDescent="0.55000000000000004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 x14ac:dyDescent="0.55000000000000004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 x14ac:dyDescent="0.55000000000000004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 x14ac:dyDescent="0.55000000000000004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 x14ac:dyDescent="0.55000000000000004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 x14ac:dyDescent="0.55000000000000004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x14ac:dyDescent="0.55000000000000004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x14ac:dyDescent="0.55000000000000004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x14ac:dyDescent="0.55000000000000004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x14ac:dyDescent="0.55000000000000004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x14ac:dyDescent="0.55000000000000004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x14ac:dyDescent="0.55000000000000004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x14ac:dyDescent="0.55000000000000004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x14ac:dyDescent="0.55000000000000004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x14ac:dyDescent="0.55000000000000004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x14ac:dyDescent="0.55000000000000004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x14ac:dyDescent="0.55000000000000004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x14ac:dyDescent="0.55000000000000004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x14ac:dyDescent="0.55000000000000004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x14ac:dyDescent="0.55000000000000004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x14ac:dyDescent="0.55000000000000004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x14ac:dyDescent="0.55000000000000004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x14ac:dyDescent="0.55000000000000004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x14ac:dyDescent="0.55000000000000004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x14ac:dyDescent="0.55000000000000004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x14ac:dyDescent="0.55000000000000004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x14ac:dyDescent="0.55000000000000004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x14ac:dyDescent="0.55000000000000004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x14ac:dyDescent="0.55000000000000004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x14ac:dyDescent="0.55000000000000004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x14ac:dyDescent="0.55000000000000004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x14ac:dyDescent="0.55000000000000004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x14ac:dyDescent="0.55000000000000004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x14ac:dyDescent="0.55000000000000004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x14ac:dyDescent="0.55000000000000004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x14ac:dyDescent="0.55000000000000004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x14ac:dyDescent="0.55000000000000004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x14ac:dyDescent="0.55000000000000004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x14ac:dyDescent="0.55000000000000004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x14ac:dyDescent="0.55000000000000004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x14ac:dyDescent="0.55000000000000004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x14ac:dyDescent="0.55000000000000004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x14ac:dyDescent="0.55000000000000004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x14ac:dyDescent="0.55000000000000004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x14ac:dyDescent="0.55000000000000004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x14ac:dyDescent="0.55000000000000004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x14ac:dyDescent="0.55000000000000004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x14ac:dyDescent="0.55000000000000004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x14ac:dyDescent="0.55000000000000004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x14ac:dyDescent="0.55000000000000004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x14ac:dyDescent="0.55000000000000004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x14ac:dyDescent="0.55000000000000004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x14ac:dyDescent="0.55000000000000004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x14ac:dyDescent="0.55000000000000004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x14ac:dyDescent="0.55000000000000004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x14ac:dyDescent="0.55000000000000004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x14ac:dyDescent="0.55000000000000004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x14ac:dyDescent="0.55000000000000004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x14ac:dyDescent="0.55000000000000004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x14ac:dyDescent="0.55000000000000004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x14ac:dyDescent="0.55000000000000004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x14ac:dyDescent="0.55000000000000004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x14ac:dyDescent="0.55000000000000004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x14ac:dyDescent="0.55000000000000004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x14ac:dyDescent="0.55000000000000004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x14ac:dyDescent="0.55000000000000004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x14ac:dyDescent="0.55000000000000004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x14ac:dyDescent="0.55000000000000004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x14ac:dyDescent="0.55000000000000004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x14ac:dyDescent="0.55000000000000004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x14ac:dyDescent="0.55000000000000004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x14ac:dyDescent="0.55000000000000004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x14ac:dyDescent="0.55000000000000004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x14ac:dyDescent="0.55000000000000004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x14ac:dyDescent="0.55000000000000004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x14ac:dyDescent="0.55000000000000004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x14ac:dyDescent="0.55000000000000004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x14ac:dyDescent="0.55000000000000004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x14ac:dyDescent="0.55000000000000004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x14ac:dyDescent="0.55000000000000004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x14ac:dyDescent="0.55000000000000004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x14ac:dyDescent="0.55000000000000004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</sheetData>
  <dataConsolidate/>
  <conditionalFormatting sqref="E3">
    <cfRule type="expression" dxfId="25" priority="123">
      <formula>$E$2&lt;&gt;"YES"</formula>
    </cfRule>
  </conditionalFormatting>
  <conditionalFormatting sqref="E4">
    <cfRule type="expression" dxfId="24" priority="122">
      <formula>$E$3&lt;&gt;"YES"</formula>
    </cfRule>
  </conditionalFormatting>
  <conditionalFormatting sqref="C3">
    <cfRule type="expression" dxfId="23" priority="121">
      <formula>$C$2&lt;&gt;"YES"</formula>
    </cfRule>
  </conditionalFormatting>
  <conditionalFormatting sqref="C6">
    <cfRule type="expression" dxfId="22" priority="120">
      <formula>$C$2&lt;&gt;"NO"</formula>
    </cfRule>
  </conditionalFormatting>
  <conditionalFormatting sqref="C4">
    <cfRule type="expression" dxfId="21" priority="119">
      <formula>$C$3&lt;&gt;"NO"</formula>
    </cfRule>
  </conditionalFormatting>
  <conditionalFormatting sqref="C5">
    <cfRule type="expression" dxfId="20" priority="118">
      <formula>$C$4&lt;&gt;"YES"</formula>
    </cfRule>
  </conditionalFormatting>
  <conditionalFormatting sqref="C7">
    <cfRule type="expression" dxfId="19" priority="116">
      <formula>$C$6&lt;&gt;"YES"</formula>
    </cfRule>
    <cfRule type="expression" dxfId="18" priority="117">
      <formula>$C$2&lt;&gt;"NO"</formula>
    </cfRule>
  </conditionalFormatting>
  <conditionalFormatting sqref="C13">
    <cfRule type="expression" dxfId="17" priority="18">
      <formula>$C$12&lt;&gt;"YES"</formula>
    </cfRule>
  </conditionalFormatting>
  <conditionalFormatting sqref="C15">
    <cfRule type="expression" dxfId="16" priority="17">
      <formula>$C$14=""</formula>
    </cfRule>
  </conditionalFormatting>
  <conditionalFormatting sqref="D12">
    <cfRule type="expression" dxfId="15" priority="16">
      <formula>$C$15=""</formula>
    </cfRule>
  </conditionalFormatting>
  <conditionalFormatting sqref="D13">
    <cfRule type="expression" dxfId="14" priority="15">
      <formula>$D$12=""</formula>
    </cfRule>
  </conditionalFormatting>
  <conditionalFormatting sqref="D14">
    <cfRule type="expression" dxfId="13" priority="14">
      <formula>$D$13=""</formula>
    </cfRule>
  </conditionalFormatting>
  <conditionalFormatting sqref="E12">
    <cfRule type="expression" dxfId="12" priority="13">
      <formula>$D$14=""</formula>
    </cfRule>
  </conditionalFormatting>
  <conditionalFormatting sqref="E13">
    <cfRule type="expression" dxfId="11" priority="12">
      <formula>$E$12=""</formula>
    </cfRule>
  </conditionalFormatting>
  <conditionalFormatting sqref="E14">
    <cfRule type="expression" dxfId="10" priority="11">
      <formula>$E$13=""</formula>
    </cfRule>
  </conditionalFormatting>
  <conditionalFormatting sqref="F12">
    <cfRule type="expression" dxfId="9" priority="10">
      <formula>$E$14=""</formula>
    </cfRule>
  </conditionalFormatting>
  <conditionalFormatting sqref="F13">
    <cfRule type="expression" dxfId="8" priority="9">
      <formula>$F$12=""</formula>
    </cfRule>
  </conditionalFormatting>
  <conditionalFormatting sqref="F14">
    <cfRule type="expression" dxfId="7" priority="8">
      <formula>$F$13=""</formula>
    </cfRule>
  </conditionalFormatting>
  <conditionalFormatting sqref="G12">
    <cfRule type="expression" dxfId="6" priority="7">
      <formula>$F$14=""</formula>
    </cfRule>
  </conditionalFormatting>
  <conditionalFormatting sqref="G13">
    <cfRule type="expression" dxfId="5" priority="6">
      <formula>$G$12=""</formula>
    </cfRule>
  </conditionalFormatting>
  <conditionalFormatting sqref="G14">
    <cfRule type="expression" dxfId="4" priority="5">
      <formula>$G$13=""</formula>
    </cfRule>
  </conditionalFormatting>
  <conditionalFormatting sqref="H12">
    <cfRule type="expression" dxfId="3" priority="4">
      <formula>$G$14=""</formula>
    </cfRule>
  </conditionalFormatting>
  <conditionalFormatting sqref="H13">
    <cfRule type="expression" dxfId="2" priority="3">
      <formula>$H$12=""</formula>
    </cfRule>
  </conditionalFormatting>
  <conditionalFormatting sqref="H14">
    <cfRule type="expression" dxfId="1" priority="2">
      <formula>$H$13=""</formula>
    </cfRule>
  </conditionalFormatting>
  <conditionalFormatting sqref="C14">
    <cfRule type="expression" dxfId="0" priority="1">
      <formula>OR(AND($C$12="YES", $C$13=""), $C$12="")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_xludf.Save">
                <anchor moveWithCells="1" sizeWithCells="1">
                  <from>
                    <xdr:col>5</xdr:col>
                    <xdr:colOff>482600</xdr:colOff>
                    <xdr:row>20</xdr:row>
                    <xdr:rowOff>127000</xdr:rowOff>
                  </from>
                  <to>
                    <xdr:col>6</xdr:col>
                    <xdr:colOff>1689100</xdr:colOff>
                    <xdr:row>23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promptTitle="Q2 (XAVT)" prompt="Does the network use OSI layer 3 or 4 protocols, e.g. IP, TCP/IP, or UDP?" xr:uid="{1CB22084-A42A-C641-BBB4-C73B112844CE}">
          <x14:formula1>
            <xm:f>Sheet1!$A$1:$A$3</xm:f>
          </x14:formula1>
          <xm:sqref>C3</xm:sqref>
        </x14:dataValidation>
        <x14:dataValidation type="list" allowBlank="1" showInputMessage="1" showErrorMessage="1" promptTitle="Q3 (XAVW)" prompt="Is the communication over a wireless channel?_x000a_" xr:uid="{BB48B649-4DA0-B04D-9729-F727D85ED265}">
          <x14:formula1>
            <xm:f>Sheet1!$A$1:$A$3</xm:f>
          </x14:formula1>
          <xm:sqref>C4</xm:sqref>
        </x14:dataValidation>
        <x14:dataValidation type="list" allowBlank="1" showInputMessage="1" showErrorMessage="1" promptTitle="Q4 (XAVR)" prompt="Is the range approximately 10 feet or less? _x000a_" xr:uid="{638E806A-4280-D54A-9755-0CC35C308A8A}">
          <x14:formula1>
            <xm:f>Sheet1!$A$1:$A$2</xm:f>
          </x14:formula1>
          <xm:sqref>C5</xm:sqref>
        </x14:dataValidation>
        <x14:dataValidation type="list" allowBlank="1" showInputMessage="1" showErrorMessage="1" promptTitle="Q5 (XAVP)" prompt="Must the attack have physical contact with the device?" xr:uid="{50558134-B531-824C-9624-D90BCDC21619}">
          <x14:formula1>
            <xm:f>Sheet1!$A$1:$A$3</xm:f>
          </x14:formula1>
          <xm:sqref>C6</xm:sqref>
        </x14:dataValidation>
        <x14:dataValidation type="list" allowBlank="1" showInputMessage="1" showErrorMessage="1" promptTitle="Q1 (XACL)" prompt="Can the attack attempt to exploit the vulnerability at will, i.e., without requiring any special circumstances, configurations, or use of other vulnerabilities or attacks before attacking this vulnerability?" xr:uid="{1CA02CC1-9F49-DB4E-96FC-C89CC14E0CEE}">
          <x14:formula1>
            <xm:f>Sheet1!$A$1:$A$3</xm:f>
          </x14:formula1>
          <xm:sqref>D2</xm:sqref>
        </x14:dataValidation>
        <x14:dataValidation type="list" allowBlank="1" showInputMessage="1" showErrorMessage="1" promptTitle="Q1 (XRPL)" prompt="Does the device/component use an authorization model that supports login for different users or roles with different privilege levels?" xr:uid="{80442C62-DD6A-B54E-A8E8-540926C324E7}">
          <x14:formula1>
            <xm:f>Sheet1!$A$1:$A$3</xm:f>
          </x14:formula1>
          <xm:sqref>E2</xm:sqref>
        </x14:dataValidation>
        <x14:dataValidation type="list" allowBlank="1" showInputMessage="1" showErrorMessage="1" promptTitle="Q2 (XPRZ)" prompt="Before attempting to exploit the vulnerability, must the attack be authorized to the affected component?_x000a_" xr:uid="{066A9B06-5FB6-AC46-91A4-876A9D0F3912}">
          <x14:formula1>
            <xm:f>Sheet1!$A$1:$A$3</xm:f>
          </x14:formula1>
          <xm:sqref>E3</xm:sqref>
        </x14:dataValidation>
        <x14:dataValidation type="list" allowBlank="1" showInputMessage="1" showErrorMessage="1" promptTitle="Q3 (XPRS)" prompt="Must the attack have administrator, maintainer, or other system-level privileges to attempt to exploit the vulnerability?" xr:uid="{D85013B2-9549-3F4D-A479-6ED7340B73B5}">
          <x14:formula1>
            <xm:f>Sheet1!$A$1:$A$3</xm:f>
          </x14:formula1>
          <xm:sqref>E4</xm:sqref>
        </x14:dataValidation>
        <x14:dataValidation type="list" allowBlank="1" showInputMessage="1" showErrorMessage="1" promptTitle="Q1 (XUI)" prompt="To successfully exploit the vulnerability, must the attack depend on another user or victim to perform an action or otherwise interact with the system?" xr:uid="{9BE238DE-9B69-6443-A40D-600C42690049}">
          <x14:formula1>
            <xm:f>Sheet1!$A$1:$A$3</xm:f>
          </x14:formula1>
          <xm:sqref>F2</xm:sqref>
        </x14:dataValidation>
        <x14:dataValidation type="list" allowBlank="1" showInputMessage="1" showErrorMessage="1" promptTitle="Q1 (XS)" prompt=" Can the attack affect a component whose authority (“authorization scope”) is different than that of the vulnerable component?_x000a_" xr:uid="{B96575CC-69D9-934A-97BF-52E72C507CC5}">
          <x14:formula1>
            <xm:f>Sheet1!$A$1:$A$3</xm:f>
          </x14:formula1>
          <xm:sqref>G2</xm:sqref>
        </x14:dataValidation>
        <x14:dataValidation type="list" allowBlank="1" showInputMessage="1" showErrorMessage="1" promptTitle="Q5.1 (XAVPA)" prompt="Is the device accessed through a “human-user interface,” i.e. a user interface intended for manual operation by device users?" xr:uid="{E213A546-636A-CE4D-B718-FA2D5C9783C4}">
          <x14:formula1>
            <xm:f>Sheet1!$A$1:$A$3</xm:f>
          </x14:formula1>
          <xm:sqref>C7</xm:sqref>
        </x14:dataValidation>
        <x14:dataValidation type="list" allowBlank="1" showInputMessage="1" showErrorMessage="1" promptTitle="Q1.C (XCP)" prompt="For PHI/PII data: Can this data be read?" xr:uid="{D3AB614D-5CC9-9149-8807-617B3D973635}">
          <x14:formula1>
            <xm:f>Sheet1!$A$1:$A$3</xm:f>
          </x14:formula1>
          <xm:sqref>C12</xm:sqref>
        </x14:dataValidation>
        <x14:dataValidation type="list" allowBlank="1" showInputMessage="1" showErrorMessage="1" promptTitle="Q1.I (XIP)" prompt="For PHI/PII data: Can this data be modified/deleted? " xr:uid="{D3C241C8-0195-7B47-B700-FE2BBB444891}">
          <x14:formula1>
            <xm:f>Sheet1!$C$2:$C$5</xm:f>
          </x14:formula1>
          <xm:sqref>C14</xm:sqref>
        </x14:dataValidation>
        <x14:dataValidation type="list" allowBlank="1" showInputMessage="1" showErrorMessage="1" promptTitle="Q1.A (XAP)" prompt="For PHI/PII data: Can this data be rendered inaccessible?" xr:uid="{7DEF4594-B399-C649-B4D1-9998FDAB5096}">
          <x14:formula1>
            <xm:f>Sheet1!$C$2:$C$5</xm:f>
          </x14:formula1>
          <xm:sqref>C15</xm:sqref>
        </x14:dataValidation>
        <x14:dataValidation type="list" allowBlank="1" showInputMessage="1" showErrorMessage="1" promptTitle="Q1.1C (XCP)" prompt="For PHI/PII data: Can the exposed data cover a large number of patients, e.g. 500 or more, which may force regulatory action or breach notification?" xr:uid="{B28FD4E9-3A78-A243-A7F3-C48398832466}">
          <x14:formula1>
            <xm:f>Sheet1!$A$1:$A$3</xm:f>
          </x14:formula1>
          <xm:sqref>C13</xm:sqref>
        </x14:dataValidation>
        <x14:dataValidation type="list" allowBlank="1" showInputMessage="1" showErrorMessage="1" promptTitle="Q2.A (XAP)" prompt="For any data or functionality related to diagnosis or monitoring:  Can this data or functionality be rendered inaccessable?" xr:uid="{F5991648-7852-744E-ABBC-F9377B6B47C1}">
          <x14:formula1>
            <xm:f>Sheet1!$C$2:$C$5</xm:f>
          </x14:formula1>
          <xm:sqref>D14</xm:sqref>
        </x14:dataValidation>
        <x14:dataValidation type="list" allowBlank="1" showInputMessage="1" showErrorMessage="1" promptTitle="Q2.C (XCD)" prompt="For any data or functionality related to diagnosis or monitoring: Can this data or functionality be read/exposed?" xr:uid="{4537A9D1-62A7-6642-AB3B-78D71DAFFB92}">
          <x14:formula1>
            <xm:f>Sheet1!$C$2:$C$5</xm:f>
          </x14:formula1>
          <xm:sqref>D12</xm:sqref>
        </x14:dataValidation>
        <x14:dataValidation type="list" allowBlank="1" showInputMessage="1" showErrorMessage="1" promptTitle="Q4.C (XCW)" prompt="For any data or functionality related to clinical workflow: Can this data or functionality be read/exposed?" xr:uid="{8CEE0F18-93F6-5740-BDA0-8F4624FF52B1}">
          <x14:formula1>
            <xm:f>Sheet1!$C$2:$C$5</xm:f>
          </x14:formula1>
          <xm:sqref>F12</xm:sqref>
        </x14:dataValidation>
        <x14:dataValidation type="list" allowBlank="1" showInputMessage="1" showErrorMessage="1" promptTitle="Q3.C (XCT)" prompt="For any data or functionality related to the delivery of therapy: Can this data or functionality be read/exposed?" xr:uid="{3254E18A-9BB5-B946-B553-5FB08FD5D22D}">
          <x14:formula1>
            <xm:f>Sheet1!$C$2:$C$5</xm:f>
          </x14:formula1>
          <xm:sqref>E12</xm:sqref>
        </x14:dataValidation>
        <x14:dataValidation type="list" allowBlank="1" showInputMessage="1" showErrorMessage="1" promptTitle="Q5.C (XCS)" prompt="For any data or functionality related to private system or system-user data, e.g. passwords or private keys: Can this data or functionality be read/exposed?" xr:uid="{3987816D-A55D-5842-B6F4-1D4C4B3D5F12}">
          <x14:formula1>
            <xm:f>Sheet1!$C$2:$C$5</xm:f>
          </x14:formula1>
          <xm:sqref>G12</xm:sqref>
        </x14:dataValidation>
        <x14:dataValidation type="list" allowBlank="1" showInputMessage="1" showErrorMessage="1" promptTitle="Q6.C (XCO)" prompt="For any other kind of critical, sensitve data or functionality: Can this data or function be read/exposed?" xr:uid="{8A93E64B-D762-CA43-A043-C5C74D78797A}">
          <x14:formula1>
            <xm:f>Sheet1!$C$2:$C$5</xm:f>
          </x14:formula1>
          <xm:sqref>H12</xm:sqref>
        </x14:dataValidation>
        <x14:dataValidation type="list" allowBlank="1" showInputMessage="1" showErrorMessage="1" promptTitle="Q2.I (XID)" prompt="For any data or functionality related to diagnosis or monitoring: Can this data or functionalty be modified/deleted?" xr:uid="{9DB6E03F-23F5-3646-97A3-F9BE059D30A6}">
          <x14:formula1>
            <xm:f>Sheet1!$C$2:$C$5</xm:f>
          </x14:formula1>
          <xm:sqref>D13</xm:sqref>
        </x14:dataValidation>
        <x14:dataValidation type="list" allowBlank="1" showInputMessage="1" showErrorMessage="1" promptTitle="Q3.I (XIT)" prompt="For any data related to the delivery of therapy: Can this data or functionality be modified/deleted?" xr:uid="{21AB45EA-1335-8B40-9B2E-AF8C242A5944}">
          <x14:formula1>
            <xm:f>Sheet1!$C$2:$C$5</xm:f>
          </x14:formula1>
          <xm:sqref>E13</xm:sqref>
        </x14:dataValidation>
        <x14:dataValidation type="list" allowBlank="1" showInputMessage="1" showErrorMessage="1" promptTitle="Q4.I (XIW)" prompt="For any data or functionality related to clinical workflow: Can this data or functionality be modified/deleted?" xr:uid="{93448326-0B11-7444-8665-D0B5FEAB5DE8}">
          <x14:formula1>
            <xm:f>Sheet1!$C$2:$C$5</xm:f>
          </x14:formula1>
          <xm:sqref>F13</xm:sqref>
        </x14:dataValidation>
        <x14:dataValidation type="list" allowBlank="1" showInputMessage="1" showErrorMessage="1" promptTitle="Q5.I (XIS)" prompt="For any data or functionality related to private system or system-user data, e.g. passwords or private keys: Can this data or functionality be modified/deleted?" xr:uid="{0255871C-3E6D-EC4F-A8EE-168806B2A297}">
          <x14:formula1>
            <xm:f>Sheet1!$C$2:$C$5</xm:f>
          </x14:formula1>
          <xm:sqref>G13</xm:sqref>
        </x14:dataValidation>
        <x14:dataValidation type="list" allowBlank="1" showInputMessage="1" showErrorMessage="1" promptTitle="Q6.I (XIO)" prompt="For any other kind of critical, sensitive data or functionality: Can this data or functionality be modified/deleted?" xr:uid="{F6FD872B-C9B9-1F45-A6CB-4BDF51A74049}">
          <x14:formula1>
            <xm:f>Sheet1!$C$2:$C$5</xm:f>
          </x14:formula1>
          <xm:sqref>H13</xm:sqref>
        </x14:dataValidation>
        <x14:dataValidation type="list" allowBlank="1" showInputMessage="1" showErrorMessage="1" promptTitle="Q6.A (XAO)" prompt="For any other kind of critical, sensitive data or functionality: Can this data or functionality be rendered inaccessable?" xr:uid="{61959791-0435-2742-A0FF-DFB978926CC1}">
          <x14:formula1>
            <xm:f>Sheet1!$C$2:$C$5</xm:f>
          </x14:formula1>
          <xm:sqref>H14</xm:sqref>
        </x14:dataValidation>
        <x14:dataValidation type="list" allowBlank="1" showInputMessage="1" showErrorMessage="1" promptTitle="Q5.A (XAS)" prompt="For any data or functionality related to private system or system-user data, e.g. passwords or private keys:  Can this data or functionality be rendered inaccessable?" xr:uid="{7C672AF8-9F96-EF40-8E9A-C128D1EC7880}">
          <x14:formula1>
            <xm:f>Sheet1!$C$2:$C$5</xm:f>
          </x14:formula1>
          <xm:sqref>G14</xm:sqref>
        </x14:dataValidation>
        <x14:dataValidation type="list" allowBlank="1" showInputMessage="1" showErrorMessage="1" promptTitle="Q4.A (XAW)" prompt="For any data or functionality related to clinical workflow: Can this data or functionality be rendered inaccessable?" xr:uid="{A255CC49-52BD-8648-8B55-171C622BF466}">
          <x14:formula1>
            <xm:f>Sheet1!$C$2:$C$5</xm:f>
          </x14:formula1>
          <xm:sqref>F14</xm:sqref>
        </x14:dataValidation>
        <x14:dataValidation type="list" allowBlank="1" showInputMessage="1" showErrorMessage="1" promptTitle="Q3.A (XAT)" prompt="For any data or functionality related to the delivery of therapy:  Can this data or functionality be rendered inaccessable?" xr:uid="{76128734-B17C-914F-9F27-6742D0782248}">
          <x14:formula1>
            <xm:f>Sheet1!$C$2:$C$5</xm:f>
          </x14:formula1>
          <xm:sqref>E14</xm:sqref>
        </x14:dataValidation>
        <x14:dataValidation type="list" allowBlank="1" showInputMessage="1" showErrorMessage="1" promptTitle="Q1 (XAVN)" prompt="Can the attacker utilize some type of network or communication protocol to exploit this vulnerability? " xr:uid="{13F59BA7-38ED-4247-BC4F-6395E3B00B7D}">
          <x14:formula1>
            <xm:f>Sheet1!A1:A3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4FC-7930-D24D-86B8-B4A90819232B}">
  <sheetPr codeName="Sheet1"/>
  <dimension ref="A1:C3"/>
  <sheetViews>
    <sheetView workbookViewId="0">
      <selection activeCell="A4" sqref="A4:C4"/>
    </sheetView>
  </sheetViews>
  <sheetFormatPr defaultColWidth="10.83203125" defaultRowHeight="15.7" x14ac:dyDescent="0.55000000000000004"/>
  <cols>
    <col min="1" max="1" width="28" style="41" customWidth="1"/>
    <col min="2" max="2" width="35.83203125" style="41" customWidth="1"/>
    <col min="3" max="3" width="37.6640625" style="41" customWidth="1"/>
    <col min="4" max="16384" width="10.83203125" style="41"/>
  </cols>
  <sheetData>
    <row r="1" spans="1:3" s="40" customFormat="1" ht="20.7" x14ac:dyDescent="0.55000000000000004">
      <c r="A1" s="40" t="s">
        <v>55</v>
      </c>
      <c r="B1" s="40" t="s">
        <v>56</v>
      </c>
      <c r="C1" s="40" t="s">
        <v>54</v>
      </c>
    </row>
    <row r="2" spans="1:3" x14ac:dyDescent="0.55000000000000004">
      <c r="A2" s="41" t="s">
        <v>61</v>
      </c>
      <c r="B2" s="41">
        <v>8.2999999999999989</v>
      </c>
      <c r="C2" s="41" t="s">
        <v>64</v>
      </c>
    </row>
    <row r="3" spans="1:3" x14ac:dyDescent="0.55000000000000004">
      <c r="A3" s="41" t="s">
        <v>63</v>
      </c>
      <c r="B3" s="41">
        <v>8.6999999999999993</v>
      </c>
      <c r="C3" s="41" t="s"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F84F-A31D-CA44-BB4F-91DAD7E6EC94}">
  <sheetPr codeName="Sheet2"/>
  <dimension ref="A1:C7"/>
  <sheetViews>
    <sheetView workbookViewId="0">
      <selection activeCell="B7" sqref="B7"/>
    </sheetView>
  </sheetViews>
  <sheetFormatPr defaultColWidth="10.6640625" defaultRowHeight="15.7" x14ac:dyDescent="0.55000000000000004"/>
  <cols>
    <col min="1" max="1" width="46.1640625" customWidth="1"/>
    <col min="2" max="2" width="45.1640625" customWidth="1"/>
  </cols>
  <sheetData>
    <row r="1" spans="1:3" x14ac:dyDescent="0.55000000000000004">
      <c r="A1" t="s">
        <v>0</v>
      </c>
    </row>
    <row r="2" spans="1:3" x14ac:dyDescent="0.55000000000000004">
      <c r="A2" t="s">
        <v>1</v>
      </c>
      <c r="B2" t="s">
        <v>7</v>
      </c>
      <c r="C2" t="s">
        <v>13</v>
      </c>
    </row>
    <row r="3" spans="1:3" ht="31.35" x14ac:dyDescent="0.55000000000000004">
      <c r="A3" t="s">
        <v>2</v>
      </c>
      <c r="B3" s="1" t="s">
        <v>8</v>
      </c>
      <c r="C3" t="s">
        <v>14</v>
      </c>
    </row>
    <row r="4" spans="1:3" x14ac:dyDescent="0.55000000000000004">
      <c r="A4" t="s">
        <v>16</v>
      </c>
      <c r="B4" s="1" t="s">
        <v>9</v>
      </c>
      <c r="C4" t="s">
        <v>15</v>
      </c>
    </row>
    <row r="5" spans="1:3" x14ac:dyDescent="0.55000000000000004">
      <c r="B5" t="s">
        <v>10</v>
      </c>
      <c r="C5" t="s">
        <v>2</v>
      </c>
    </row>
    <row r="6" spans="1:3" ht="31.35" x14ac:dyDescent="0.55000000000000004">
      <c r="B6" s="1" t="s">
        <v>11</v>
      </c>
    </row>
    <row r="7" spans="1:3" ht="31.35" x14ac:dyDescent="0.55000000000000004">
      <c r="B7" s="1" t="s">
        <v>12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8241D-1813-284E-B01E-E9D70BC04050}">
  <sheetPr codeName="Sheet4"/>
  <dimension ref="A1:C44"/>
  <sheetViews>
    <sheetView workbookViewId="0">
      <selection activeCell="E4" sqref="E4"/>
    </sheetView>
  </sheetViews>
  <sheetFormatPr defaultColWidth="10.83203125" defaultRowHeight="15.7" x14ac:dyDescent="0.55000000000000004"/>
  <cols>
    <col min="1" max="1" width="34" style="38" customWidth="1"/>
    <col min="2" max="2" width="20" style="39" customWidth="1"/>
    <col min="3" max="3" width="17.5" style="39" customWidth="1"/>
    <col min="4" max="4" width="20.1640625" style="39" customWidth="1"/>
    <col min="5" max="5" width="20.6640625" style="39" customWidth="1"/>
    <col min="6" max="6" width="22.1640625" style="39" customWidth="1"/>
    <col min="7" max="7" width="25" style="39" customWidth="1"/>
    <col min="8" max="16384" width="10.83203125" style="39"/>
  </cols>
  <sheetData>
    <row r="1" spans="1:3" s="35" customFormat="1" ht="25.7" x14ac:dyDescent="0.7">
      <c r="A1" s="42" t="s">
        <v>55</v>
      </c>
      <c r="B1" s="35" t="s">
        <v>61</v>
      </c>
      <c r="C1" s="35" t="s">
        <v>63</v>
      </c>
    </row>
    <row r="2" spans="1:3" s="37" customFormat="1" ht="18" x14ac:dyDescent="0.6">
      <c r="A2" s="36" t="s">
        <v>21</v>
      </c>
    </row>
    <row r="3" spans="1:3" ht="62.7" x14ac:dyDescent="0.55000000000000004">
      <c r="A3" s="38" t="s">
        <v>59</v>
      </c>
      <c r="B3" s="39" t="s">
        <v>0</v>
      </c>
      <c r="C3" s="39" t="s">
        <v>0</v>
      </c>
    </row>
    <row r="4" spans="1:3" ht="47" x14ac:dyDescent="0.55000000000000004">
      <c r="A4" s="38" t="s">
        <v>58</v>
      </c>
      <c r="B4" s="39" t="s">
        <v>0</v>
      </c>
      <c r="C4" s="39" t="s">
        <v>1</v>
      </c>
    </row>
    <row r="5" spans="1:3" ht="31.35" x14ac:dyDescent="0.55000000000000004">
      <c r="A5" s="38" t="s">
        <v>57</v>
      </c>
      <c r="C5" s="39" t="s">
        <v>1</v>
      </c>
    </row>
    <row r="6" spans="1:3" ht="31.35" x14ac:dyDescent="0.55000000000000004">
      <c r="A6" s="38" t="s">
        <v>22</v>
      </c>
    </row>
    <row r="7" spans="1:3" ht="31.35" x14ac:dyDescent="0.55000000000000004">
      <c r="A7" s="38" t="s">
        <v>23</v>
      </c>
    </row>
    <row r="8" spans="1:3" ht="62.7" x14ac:dyDescent="0.55000000000000004">
      <c r="A8" s="38" t="s">
        <v>24</v>
      </c>
    </row>
    <row r="9" spans="1:3" s="37" customFormat="1" ht="18" x14ac:dyDescent="0.6">
      <c r="A9" s="36" t="s">
        <v>3</v>
      </c>
    </row>
    <row r="10" spans="1:3" ht="109.7" x14ac:dyDescent="0.55000000000000004">
      <c r="A10" s="38" t="s">
        <v>60</v>
      </c>
      <c r="B10" s="39" t="s">
        <v>0</v>
      </c>
      <c r="C10" s="39" t="s">
        <v>0</v>
      </c>
    </row>
    <row r="11" spans="1:3" s="37" customFormat="1" ht="18" x14ac:dyDescent="0.6">
      <c r="A11" s="36" t="s">
        <v>4</v>
      </c>
    </row>
    <row r="12" spans="1:3" ht="78.349999999999994" x14ac:dyDescent="0.55000000000000004">
      <c r="A12" s="38" t="s">
        <v>25</v>
      </c>
      <c r="B12" s="39" t="s">
        <v>0</v>
      </c>
      <c r="C12" s="39" t="s">
        <v>1</v>
      </c>
    </row>
    <row r="13" spans="1:3" ht="47" x14ac:dyDescent="0.55000000000000004">
      <c r="A13" s="38" t="s">
        <v>26</v>
      </c>
      <c r="B13" s="39" t="s">
        <v>0</v>
      </c>
    </row>
    <row r="14" spans="1:3" ht="62.7" x14ac:dyDescent="0.55000000000000004">
      <c r="A14" s="38" t="s">
        <v>27</v>
      </c>
      <c r="B14" s="39" t="s">
        <v>0</v>
      </c>
    </row>
    <row r="15" spans="1:3" s="37" customFormat="1" ht="18" x14ac:dyDescent="0.6">
      <c r="A15" s="36" t="s">
        <v>5</v>
      </c>
    </row>
    <row r="16" spans="1:3" ht="78.349999999999994" x14ac:dyDescent="0.55000000000000004">
      <c r="A16" s="38" t="s">
        <v>28</v>
      </c>
      <c r="B16" s="39" t="s">
        <v>0</v>
      </c>
      <c r="C16" s="39" t="s">
        <v>0</v>
      </c>
    </row>
    <row r="17" spans="1:3" s="37" customFormat="1" ht="18" x14ac:dyDescent="0.6">
      <c r="A17" s="36" t="s">
        <v>6</v>
      </c>
    </row>
    <row r="18" spans="1:3" ht="62.7" x14ac:dyDescent="0.55000000000000004">
      <c r="A18" s="38" t="s">
        <v>29</v>
      </c>
      <c r="B18" s="39" t="s">
        <v>0</v>
      </c>
      <c r="C18" s="39" t="s">
        <v>0</v>
      </c>
    </row>
    <row r="19" spans="1:3" s="37" customFormat="1" ht="18" x14ac:dyDescent="0.6">
      <c r="A19" s="36" t="s">
        <v>7</v>
      </c>
    </row>
    <row r="20" spans="1:3" x14ac:dyDescent="0.55000000000000004">
      <c r="A20" s="38" t="s">
        <v>30</v>
      </c>
      <c r="B20" s="39" t="s">
        <v>0</v>
      </c>
      <c r="C20" s="39" t="s">
        <v>0</v>
      </c>
    </row>
    <row r="21" spans="1:3" ht="78.349999999999994" x14ac:dyDescent="0.55000000000000004">
      <c r="A21" s="38" t="s">
        <v>31</v>
      </c>
      <c r="B21" s="39" t="s">
        <v>1</v>
      </c>
      <c r="C21" s="39" t="s">
        <v>0</v>
      </c>
    </row>
    <row r="22" spans="1:3" ht="31.35" x14ac:dyDescent="0.55000000000000004">
      <c r="A22" s="38" t="s">
        <v>32</v>
      </c>
      <c r="B22" s="39" t="s">
        <v>13</v>
      </c>
      <c r="C22" s="39" t="s">
        <v>14</v>
      </c>
    </row>
    <row r="23" spans="1:3" ht="31.35" x14ac:dyDescent="0.55000000000000004">
      <c r="A23" s="38" t="s">
        <v>33</v>
      </c>
      <c r="B23" s="39" t="s">
        <v>14</v>
      </c>
      <c r="C23" s="39" t="s">
        <v>13</v>
      </c>
    </row>
    <row r="24" spans="1:3" s="37" customFormat="1" ht="54" x14ac:dyDescent="0.6">
      <c r="A24" s="36" t="s">
        <v>34</v>
      </c>
    </row>
    <row r="25" spans="1:3" ht="31.35" x14ac:dyDescent="0.55000000000000004">
      <c r="A25" s="38" t="s">
        <v>35</v>
      </c>
      <c r="B25" s="39" t="s">
        <v>13</v>
      </c>
      <c r="C25" s="39" t="s">
        <v>13</v>
      </c>
    </row>
    <row r="26" spans="1:3" ht="31.35" x14ac:dyDescent="0.55000000000000004">
      <c r="A26" s="38" t="s">
        <v>36</v>
      </c>
      <c r="B26" s="39" t="s">
        <v>14</v>
      </c>
      <c r="C26" s="39" t="s">
        <v>14</v>
      </c>
    </row>
    <row r="27" spans="1:3" ht="31.35" x14ac:dyDescent="0.55000000000000004">
      <c r="A27" s="38" t="s">
        <v>37</v>
      </c>
      <c r="B27" s="39" t="s">
        <v>14</v>
      </c>
      <c r="C27" s="39" t="s">
        <v>13</v>
      </c>
    </row>
    <row r="28" spans="1:3" s="37" customFormat="1" ht="54" x14ac:dyDescent="0.6">
      <c r="A28" s="36" t="s">
        <v>38</v>
      </c>
    </row>
    <row r="29" spans="1:3" ht="31.35" x14ac:dyDescent="0.55000000000000004">
      <c r="A29" s="38" t="s">
        <v>39</v>
      </c>
      <c r="B29" s="39" t="s">
        <v>13</v>
      </c>
      <c r="C29" s="39" t="s">
        <v>13</v>
      </c>
    </row>
    <row r="30" spans="1:3" ht="31.35" x14ac:dyDescent="0.55000000000000004">
      <c r="A30" s="38" t="s">
        <v>40</v>
      </c>
      <c r="B30" s="39" t="s">
        <v>14</v>
      </c>
      <c r="C30" s="39" t="s">
        <v>14</v>
      </c>
    </row>
    <row r="31" spans="1:3" ht="31.35" x14ac:dyDescent="0.55000000000000004">
      <c r="A31" s="38" t="s">
        <v>41</v>
      </c>
      <c r="B31" s="39" t="s">
        <v>15</v>
      </c>
      <c r="C31" s="39" t="s">
        <v>13</v>
      </c>
    </row>
    <row r="32" spans="1:3" s="37" customFormat="1" ht="36" x14ac:dyDescent="0.6">
      <c r="A32" s="36" t="s">
        <v>42</v>
      </c>
    </row>
    <row r="33" spans="1:3" ht="31.35" x14ac:dyDescent="0.55000000000000004">
      <c r="A33" s="38" t="s">
        <v>43</v>
      </c>
      <c r="B33" s="39" t="s">
        <v>13</v>
      </c>
      <c r="C33" s="39" t="s">
        <v>14</v>
      </c>
    </row>
    <row r="34" spans="1:3" ht="31.35" x14ac:dyDescent="0.55000000000000004">
      <c r="A34" s="38" t="s">
        <v>44</v>
      </c>
      <c r="B34" s="39" t="s">
        <v>14</v>
      </c>
      <c r="C34" s="39" t="s">
        <v>14</v>
      </c>
    </row>
    <row r="35" spans="1:3" ht="31.35" x14ac:dyDescent="0.55000000000000004">
      <c r="A35" s="38" t="s">
        <v>45</v>
      </c>
      <c r="B35" s="39" t="s">
        <v>15</v>
      </c>
      <c r="C35" s="39" t="s">
        <v>13</v>
      </c>
    </row>
    <row r="36" spans="1:3" s="37" customFormat="1" ht="72" x14ac:dyDescent="0.6">
      <c r="A36" s="36" t="s">
        <v>46</v>
      </c>
    </row>
    <row r="37" spans="1:3" ht="31.35" x14ac:dyDescent="0.55000000000000004">
      <c r="A37" s="38" t="s">
        <v>48</v>
      </c>
      <c r="B37" s="39" t="s">
        <v>14</v>
      </c>
      <c r="C37" s="39" t="s">
        <v>13</v>
      </c>
    </row>
    <row r="38" spans="1:3" ht="31.35" x14ac:dyDescent="0.55000000000000004">
      <c r="A38" s="38" t="s">
        <v>47</v>
      </c>
      <c r="B38" s="39" t="s">
        <v>14</v>
      </c>
      <c r="C38" s="39" t="s">
        <v>14</v>
      </c>
    </row>
    <row r="39" spans="1:3" ht="31.35" x14ac:dyDescent="0.55000000000000004">
      <c r="A39" s="38" t="s">
        <v>49</v>
      </c>
      <c r="B39" s="39" t="s">
        <v>15</v>
      </c>
      <c r="C39" s="39" t="s">
        <v>15</v>
      </c>
    </row>
    <row r="40" spans="1:3" s="37" customFormat="1" ht="36" x14ac:dyDescent="0.6">
      <c r="A40" s="36" t="s">
        <v>50</v>
      </c>
    </row>
    <row r="41" spans="1:3" ht="31.35" x14ac:dyDescent="0.55000000000000004">
      <c r="A41" s="38" t="s">
        <v>51</v>
      </c>
      <c r="B41" s="39" t="s">
        <v>14</v>
      </c>
      <c r="C41" s="39" t="s">
        <v>13</v>
      </c>
    </row>
    <row r="42" spans="1:3" ht="31.35" x14ac:dyDescent="0.55000000000000004">
      <c r="A42" s="38" t="s">
        <v>52</v>
      </c>
      <c r="B42" s="39" t="s">
        <v>15</v>
      </c>
      <c r="C42" s="39" t="s">
        <v>14</v>
      </c>
    </row>
    <row r="43" spans="1:3" ht="31.35" x14ac:dyDescent="0.55000000000000004">
      <c r="A43" s="38" t="s">
        <v>53</v>
      </c>
      <c r="B43" s="39" t="s">
        <v>15</v>
      </c>
      <c r="C43" s="39" t="s">
        <v>14</v>
      </c>
    </row>
    <row r="44" spans="1:3" s="37" customFormat="1" ht="18" x14ac:dyDescent="0.6">
      <c r="A44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Base Score</vt:lpstr>
      <vt:lpstr>Summary</vt:lpstr>
      <vt:lpstr>Sheet1</vt:lpstr>
      <vt:lpstr>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Elyse Libetti</dc:creator>
  <cp:lastModifiedBy>Chase, Melissa P.</cp:lastModifiedBy>
  <dcterms:created xsi:type="dcterms:W3CDTF">2019-10-15T18:31:03Z</dcterms:created>
  <dcterms:modified xsi:type="dcterms:W3CDTF">2020-02-24T15:15:02Z</dcterms:modified>
</cp:coreProperties>
</file>